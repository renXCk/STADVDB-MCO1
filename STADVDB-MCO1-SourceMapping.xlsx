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CHOOL\Y3T1\STADVDB\MCO1\"/>
    </mc:Choice>
  </mc:AlternateContent>
  <xr:revisionPtr revIDLastSave="0" documentId="8_{266E711A-CDDB-4EF6-B40D-AD24C59007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pping Matrix" sheetId="1" r:id="rId1"/>
    <sheet name="Not Extracted" sheetId="2" r:id="rId2"/>
    <sheet name="Load Order &amp; Checks" sheetId="3" r:id="rId3"/>
    <sheet name="Validation Results" sheetId="4" r:id="rId4"/>
  </sheets>
  <definedNames>
    <definedName name="_xlnm._FilterDatabase" localSheetId="0" hidden="1">'Mapping Matrix'!$A$4:$H$47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3" l="1"/>
  <c r="E6" i="3"/>
  <c r="E5" i="3"/>
  <c r="E3" i="3"/>
  <c r="E2" i="3"/>
</calcChain>
</file>

<file path=xl/sharedStrings.xml><?xml version="1.0" encoding="utf-8"?>
<sst xmlns="http://schemas.openxmlformats.org/spreadsheetml/2006/main" count="438" uniqueCount="237">
  <si>
    <t>Target Table</t>
  </si>
  <si>
    <t>Target Column</t>
  </si>
  <si>
    <t>Target Type</t>
  </si>
  <si>
    <t>Source Table</t>
  </si>
  <si>
    <t>Source Column(s)</t>
  </si>
  <si>
    <t>Source Type</t>
  </si>
  <si>
    <t>Transformation Rule</t>
  </si>
  <si>
    <t>Notes</t>
  </si>
  <si>
    <t>dim_date</t>
  </si>
  <si>
    <t>date_key</t>
  </si>
  <si>
    <t>INT (PK)</t>
  </si>
  <si>
    <t>(generated)</t>
  </si>
  <si>
    <t>-</t>
  </si>
  <si>
    <t>YEAR*10000 + MONTH*100 + DAY of each calendar day</t>
  </si>
  <si>
    <t>YYYYMMDD integer</t>
  </si>
  <si>
    <t>full_date</t>
  </si>
  <si>
    <t>DATE</t>
  </si>
  <si>
    <t>One row per day, 1993-01-01 to 1998-12-31</t>
  </si>
  <si>
    <t>2,191 rows. Check range against MIN/MAX of trans.newdate and loan.newdate</t>
  </si>
  <si>
    <t>year_num</t>
  </si>
  <si>
    <t>SMALLINT</t>
  </si>
  <si>
    <t>YEAR(full_date)</t>
  </si>
  <si>
    <t>quarter_num</t>
  </si>
  <si>
    <t>TINYINT</t>
  </si>
  <si>
    <t>QUARTER(full_date)</t>
  </si>
  <si>
    <t>Only meaningful together with year_num</t>
  </si>
  <si>
    <t>month_num</t>
  </si>
  <si>
    <t>MONTH(full_date)</t>
  </si>
  <si>
    <t>Use for ordering months</t>
  </si>
  <si>
    <t>month_name</t>
  </si>
  <si>
    <t>VARCHAR(10)</t>
  </si>
  <si>
    <t>MONTHNAME(full_date)</t>
  </si>
  <si>
    <t>Display label</t>
  </si>
  <si>
    <t>year_month_label</t>
  </si>
  <si>
    <t>CHAR(7)</t>
  </si>
  <si>
    <t>DATE_FORMAT(full_date, '%Y-%m')</t>
  </si>
  <si>
    <t>Unambiguous month, e.g. 1996-03. Not named year_month (reserved word)</t>
  </si>
  <si>
    <t>week_of_year</t>
  </si>
  <si>
    <t>WEEK(full_date, 3)  (ISO week)</t>
  </si>
  <si>
    <t>Early-January days can fall in week 52/53</t>
  </si>
  <si>
    <t>day_of_month</t>
  </si>
  <si>
    <t>DAY(full_date)</t>
  </si>
  <si>
    <t>day_of_week</t>
  </si>
  <si>
    <t>WEEKDAY(full_date) + 1</t>
  </si>
  <si>
    <t>1 = Monday ... 7 = Sunday</t>
  </si>
  <si>
    <t>is_weekend</t>
  </si>
  <si>
    <t>BOOLEAN</t>
  </si>
  <si>
    <t>WEEKDAY(full_date) &gt;= 5</t>
  </si>
  <si>
    <t>True for Saturday and Sunday</t>
  </si>
  <si>
    <t>dim_account_location</t>
  </si>
  <si>
    <t>account_key</t>
  </si>
  <si>
    <t>AUTO_INCREMENT surrogate key</t>
  </si>
  <si>
    <t>Facts store this, not account_id</t>
  </si>
  <si>
    <t>account_id</t>
  </si>
  <si>
    <t>INT (UNIQUE)</t>
  </si>
  <si>
    <t>account</t>
  </si>
  <si>
    <t>int</t>
  </si>
  <si>
    <t>Copy</t>
  </si>
  <si>
    <t>Business key kept for tracing and validation</t>
  </si>
  <si>
    <t>frequency</t>
  </si>
  <si>
    <t>VARCHAR(30)</t>
  </si>
  <si>
    <t>text</t>
  </si>
  <si>
    <t>Copy; translate codes to English if needed</t>
  </si>
  <si>
    <t>Expected: Monthly 4,167 / Weekly 240 / Every Transaction 93</t>
  </si>
  <si>
    <t>opening_date</t>
  </si>
  <si>
    <t>newdate</t>
  </si>
  <si>
    <t>date</t>
  </si>
  <si>
    <t>Range 1993-01-01 to 1997-12-29</t>
  </si>
  <si>
    <t>district_name</t>
  </si>
  <si>
    <t>VARCHAR(50)</t>
  </si>
  <si>
    <t>district</t>
  </si>
  <si>
    <t>Join account.district_id = district.district_id</t>
  </si>
  <si>
    <t>Check that every account finds its district</t>
  </si>
  <si>
    <t>region</t>
  </si>
  <si>
    <t>Same join</t>
  </si>
  <si>
    <t>8 regions</t>
  </si>
  <si>
    <t>average_salary</t>
  </si>
  <si>
    <t>INT</t>
  </si>
  <si>
    <t>District-level value repeated on every account in that district</t>
  </si>
  <si>
    <t>dim_transaction_type</t>
  </si>
  <si>
    <t>txn_type_key</t>
  </si>
  <si>
    <t>txn_type</t>
  </si>
  <si>
    <t>VARCHAR(20)</t>
  </si>
  <si>
    <t>trans</t>
  </si>
  <si>
    <t>type</t>
  </si>
  <si>
    <t>Source type values are 'Credit', 'Debit (Withdrawal)' and 'VYBER'. Map both 'Debit (Withdrawal)' and 'VYBER' to 'Debit'</t>
  </si>
  <si>
    <t>VALIDATED: 16,666 VYBER rows, all with operation 'Withdrawal in Cash', so VYBER -&gt; Debit is correct</t>
  </si>
  <si>
    <t>operation</t>
  </si>
  <si>
    <t>Blank becomes 'N/A'</t>
  </si>
  <si>
    <t>VALIDATED: 183,114 rows have an empty-string operation; all are Credit / 'Interest Credited'</t>
  </si>
  <si>
    <t>k_symbol</t>
  </si>
  <si>
    <t>VALIDATED: no blank k_symbol in the data (8 distinct values); keep the 'N/A' rule only as a safeguard</t>
  </si>
  <si>
    <t>dim_loan_status</t>
  </si>
  <si>
    <t>loan_status_key</t>
  </si>
  <si>
    <t>status_code</t>
  </si>
  <si>
    <t>CHAR(1) (UNIQUE)</t>
  </si>
  <si>
    <t>ref_loanstatus</t>
  </si>
  <si>
    <t>status</t>
  </si>
  <si>
    <t>char(1)</t>
  </si>
  <si>
    <t>A, B, C, D</t>
  </si>
  <si>
    <t>status_desc</t>
  </si>
  <si>
    <t>VARCHAR(60)</t>
  </si>
  <si>
    <t>description</t>
  </si>
  <si>
    <t>varchar(45)</t>
  </si>
  <si>
    <t>Copy, or translate to plain English</t>
  </si>
  <si>
    <t>contract_phase</t>
  </si>
  <si>
    <t>A, B -&gt; Finished;  C, D -&gt; Running</t>
  </si>
  <si>
    <t>Derived</t>
  </si>
  <si>
    <t>payment_health</t>
  </si>
  <si>
    <t>A, C -&gt; Good;  B, D -&gt; Bad</t>
  </si>
  <si>
    <t>fact_transaction</t>
  </si>
  <si>
    <t>transaction_id</t>
  </si>
  <si>
    <t>trans_id</t>
  </si>
  <si>
    <t>Degenerate dimension; traces rows back to source</t>
  </si>
  <si>
    <t>INT (FK)</t>
  </si>
  <si>
    <t>Convert to integer YYYYMMDD</t>
  </si>
  <si>
    <t>Must exist in dim_date</t>
  </si>
  <si>
    <t>Look up account_key in dim_account_location</t>
  </si>
  <si>
    <t>Reject or log any account_id not found</t>
  </si>
  <si>
    <t>type, operation, k_symbol</t>
  </si>
  <si>
    <t>Clean as in dim_transaction_type, then look up txn_type_key</t>
  </si>
  <si>
    <t>Lookup uses the cleaned values, not the raw ones</t>
  </si>
  <si>
    <t>amount</t>
  </si>
  <si>
    <t>DECIMAL(18,2)</t>
  </si>
  <si>
    <t>double</t>
  </si>
  <si>
    <t>Cast to DECIMAL(18,2)</t>
  </si>
  <si>
    <t>Always &gt;= 0</t>
  </si>
  <si>
    <t>signed_amount</t>
  </si>
  <si>
    <t>amount, type</t>
  </si>
  <si>
    <t>double, text</t>
  </si>
  <si>
    <t>+amount if cleaned type = Credit; -amount if Debit</t>
  </si>
  <si>
    <t>Clean VYBER first or the sign is wrong</t>
  </si>
  <si>
    <t>balance_after</t>
  </si>
  <si>
    <t>balance</t>
  </si>
  <si>
    <t>Semi-additive: never SUM across time</t>
  </si>
  <si>
    <t>fact_loan</t>
  </si>
  <si>
    <t>loan_id</t>
  </si>
  <si>
    <t>loan</t>
  </si>
  <si>
    <t>grant_date_key</t>
  </si>
  <si>
    <t>Look up loan_status_key in dim_loan_status</t>
  </si>
  <si>
    <t>Status is a snapshot, not the status at grant date</t>
  </si>
  <si>
    <t>duration_months</t>
  </si>
  <si>
    <t>duration</t>
  </si>
  <si>
    <t>12, 24, 36, 48 or 60. Never sum it</t>
  </si>
  <si>
    <t>loan_amount</t>
  </si>
  <si>
    <t>monthly_payment</t>
  </si>
  <si>
    <t>payments</t>
  </si>
  <si>
    <t>Scheduled installment, not payments actually made</t>
  </si>
  <si>
    <t>Reason Left Out</t>
  </si>
  <si>
    <t>card</t>
  </si>
  <si>
    <t>all columns</t>
  </si>
  <si>
    <t>No fact or dimension in this design uses cards</t>
  </si>
  <si>
    <t>client</t>
  </si>
  <si>
    <t>Only client_id and district_id exist; nothing new to slice by</t>
  </si>
  <si>
    <t>disp</t>
  </si>
  <si>
    <t>Links clients to accounts; not needed for these reports</t>
  </si>
  <si>
    <t>orders</t>
  </si>
  <si>
    <t>No date column, so it cannot be rolled up over time</t>
  </si>
  <si>
    <t>bank</t>
  </si>
  <si>
    <t>Partner bank left out of the design (mostly blank)</t>
  </si>
  <si>
    <t>Partner account left out (mostly blank, high-cardinality)</t>
  </si>
  <si>
    <t>inhabitants, nocities, ratio_urbaninhabitants, unemployment, noentrepreneur, nocrimes</t>
  </si>
  <si>
    <t>No planned report needs them; add later if a question requires them</t>
  </si>
  <si>
    <t>loan.payments*duration (total_repayable, interest_cost)</t>
  </si>
  <si>
    <t>Dropped after validation: equals loan.amount for all 682 loans, so interest is always 0</t>
  </si>
  <si>
    <t>Order</t>
  </si>
  <si>
    <t>Expected Rows</t>
  </si>
  <si>
    <t>Actual Rows (fill in)</t>
  </si>
  <si>
    <t>Match?</t>
  </si>
  <si>
    <t>Generated; 366 rows in 1996 (leap year)</t>
  </si>
  <si>
    <t>manual check</t>
  </si>
  <si>
    <t>VALIDATED: 15 distinct (type, operation, k_symbol) combinations after VYBER -&gt; Debit</t>
  </si>
  <si>
    <t>One row per account</t>
  </si>
  <si>
    <t>Load in batches; look up dimension keys first</t>
  </si>
  <si>
    <t>Dimensions must already be loaded</t>
  </si>
  <si>
    <t>Legend: type the row count from the warehouse into the yellow cells (for example the result of SELECT COUNT(*) FROM fact_loan;). The Match? column then shows OK or CHECK.</t>
  </si>
  <si>
    <t>Check</t>
  </si>
  <si>
    <t>Result</t>
  </si>
  <si>
    <t>Impact on design</t>
  </si>
  <si>
    <t>Row counts</t>
  </si>
  <si>
    <t>trans 1,056,320; account 4,500; loan 682; district 76; ref_loanstatus 4</t>
  </si>
  <si>
    <t>All match expectations</t>
  </si>
  <si>
    <t>Loan: payments*duration - amount</t>
  </si>
  <si>
    <t>min 0, max 0, avg 0 across all 682 loans</t>
  </si>
  <si>
    <t>interest_cost and total_repayable carry no information: drop them</t>
  </si>
  <si>
    <t>Loans per account</t>
  </si>
  <si>
    <t>682 loans on 682 distinct accounts</t>
  </si>
  <si>
    <t>Confirmed: max one loan per account</t>
  </si>
  <si>
    <t>Loan status counts</t>
  </si>
  <si>
    <t>A 203, B 31, C 403, D 45</t>
  </si>
  <si>
    <t>Matches dim_loan_status seed</t>
  </si>
  <si>
    <t>Loan durations</t>
  </si>
  <si>
    <t>12:131, 24:138, 36:130, 48:138, 60:145</t>
  </si>
  <si>
    <t>duration_months has exactly 5 values</t>
  </si>
  <si>
    <t>trans.type values</t>
  </si>
  <si>
    <t>Credit 405,083; Debit (Withdrawal) 634,571; VYBER 16,666</t>
  </si>
  <si>
    <t>Raw label is 'Debit (Withdrawal)', not 'Debit': ETL must rename it</t>
  </si>
  <si>
    <t>VYBER rows</t>
  </si>
  <si>
    <t>All 16,666 have operation 'Withdrawal in Cash'</t>
  </si>
  <si>
    <t>VYBER -&gt; Debit confirmed</t>
  </si>
  <si>
    <t>Blank operation</t>
  </si>
  <si>
    <t>183,114 rows (all Credit, k_symbol 'Interest Credited')</t>
  </si>
  <si>
    <t>Map blank to 'N/A'</t>
  </si>
  <si>
    <t>Blank k_symbol</t>
  </si>
  <si>
    <t>0 rows (8 distinct values already filled in)</t>
  </si>
  <si>
    <t>No blank handling needed</t>
  </si>
  <si>
    <t>k_symbol under more than one operation</t>
  </si>
  <si>
    <t>Household Payment (2), Insurance Payment (2), Regular Transaction (6)</t>
  </si>
  <si>
    <t>Type &gt; Operation &gt; K-symbol is not a strict tree; totals still correct</t>
  </si>
  <si>
    <t>Distinct (type, operation, k_symbol) after cleaning</t>
  </si>
  <si>
    <t>15</t>
  </si>
  <si>
    <t>dim_transaction_type will have 15 rows</t>
  </si>
  <si>
    <t>Orphans</t>
  </si>
  <si>
    <t>0 transactions, 0 loans, 0 accounts without a district</t>
  </si>
  <si>
    <t>No rows lost on joins</t>
  </si>
  <si>
    <t>Duplicate trans_id</t>
  </si>
  <si>
    <t>0</t>
  </si>
  <si>
    <t>trans_id is safe as the fact PK</t>
  </si>
  <si>
    <t>Negative / null amounts</t>
  </si>
  <si>
    <t>0 negative, 0 null; min 0.0, max 87,400</t>
  </si>
  <si>
    <t>CHECK (amount &gt;= 0) is safe</t>
  </si>
  <si>
    <t>Transaction dates</t>
  </si>
  <si>
    <t>1993-01-01 to 1998-12-31, no nulls</t>
  </si>
  <si>
    <t>Matches generated calendar (2,191 days)</t>
  </si>
  <si>
    <t>Loan dates</t>
  </si>
  <si>
    <t>1993-07-05 to 1998-12-08</t>
  </si>
  <si>
    <t>Inside calendar</t>
  </si>
  <si>
    <t>Account open dates</t>
  </si>
  <si>
    <t>1993-01-01 to 1997-12-29</t>
  </si>
  <si>
    <t>Loan granted before account opened</t>
  </si>
  <si>
    <t>No bad rows</t>
  </si>
  <si>
    <t>Regions</t>
  </si>
  <si>
    <t>8 (Prague 1, central Bohemia 12, east Bohemia 11, north Bohemia 10, north Moravia 10, south Bohemia 8, south Moravia 14, west Bohemia 10 districts)</t>
  </si>
  <si>
    <t>76 districts total</t>
  </si>
  <si>
    <t>Account frequency</t>
  </si>
  <si>
    <t>Monthly 4,167; Weekly 240; Every Transaction 93</t>
  </si>
  <si>
    <t>Already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</si>
</sst>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  <fill>
      <patternFill patternType="solid">
        <fgColor rgb="FFFFF2CC"/>
        <bgColor rgb="FFEAF0FA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EAF0FA"/>
      </patternFill>
    </fill>
    <fill>
      <patternFill patternType="solid">
        <fgColor theme="9"/>
        <bgColor rgb="FFEAF0FA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5" fillId="4" borderId="1" xfId="0" applyNumberFormat="1" applyFont="1" applyFill="1" applyBorder="1" applyAlignment="1">
      <alignment vertical="top" wrapText="1"/>
    </xf>
    <xf numFmtId="0" fontId="6" fillId="2" borderId="0" xfId="0" applyFont="1" applyFill="1"/>
    <xf numFmtId="0" fontId="7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9" borderId="0" xfId="0" applyFill="1"/>
    <xf numFmtId="0" fontId="8" fillId="10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1" width="24" customWidth="1"/>
    <col min="2" max="2" width="20" customWidth="1"/>
    <col min="3" max="3" width="18" customWidth="1"/>
    <col min="4" max="4" width="16" customWidth="1"/>
    <col min="5" max="5" width="26" customWidth="1"/>
    <col min="6" max="6" width="14" customWidth="1"/>
    <col min="7" max="7" width="46" customWidth="1"/>
    <col min="8" max="8" width="56" customWidth="1"/>
  </cols>
  <sheetData>
    <row r="1" spans="1:8" ht="15.75" customHeight="1" x14ac:dyDescent="0.3">
      <c r="A1" s="1"/>
    </row>
    <row r="2" spans="1:8" ht="15" customHeight="1" x14ac:dyDescent="0.3">
      <c r="A2" s="2"/>
    </row>
    <row r="4" spans="1:8" ht="21.75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ht="23.25" customHeight="1" x14ac:dyDescent="0.3">
      <c r="A5" s="12" t="s">
        <v>8</v>
      </c>
      <c r="B5" s="13" t="s">
        <v>9</v>
      </c>
      <c r="C5" s="13" t="s">
        <v>10</v>
      </c>
      <c r="D5" s="13" t="s">
        <v>11</v>
      </c>
      <c r="E5" s="13" t="s">
        <v>12</v>
      </c>
      <c r="F5" s="13" t="s">
        <v>12</v>
      </c>
      <c r="G5" s="13" t="s">
        <v>13</v>
      </c>
      <c r="H5" s="13" t="s">
        <v>14</v>
      </c>
    </row>
    <row r="6" spans="1:8" ht="23.25" customHeight="1" x14ac:dyDescent="0.3">
      <c r="A6" s="12" t="s">
        <v>8</v>
      </c>
      <c r="B6" s="13" t="s">
        <v>15</v>
      </c>
      <c r="C6" s="13" t="s">
        <v>16</v>
      </c>
      <c r="D6" s="13" t="s">
        <v>11</v>
      </c>
      <c r="E6" s="13" t="s">
        <v>12</v>
      </c>
      <c r="F6" s="13" t="s">
        <v>12</v>
      </c>
      <c r="G6" s="13" t="s">
        <v>17</v>
      </c>
      <c r="H6" s="13" t="s">
        <v>18</v>
      </c>
    </row>
    <row r="7" spans="1:8" ht="15" customHeight="1" x14ac:dyDescent="0.3">
      <c r="A7" s="12" t="s">
        <v>8</v>
      </c>
      <c r="B7" s="13" t="s">
        <v>19</v>
      </c>
      <c r="C7" s="13" t="s">
        <v>20</v>
      </c>
      <c r="D7" s="13" t="s">
        <v>11</v>
      </c>
      <c r="E7" s="13" t="s">
        <v>12</v>
      </c>
      <c r="F7" s="13" t="s">
        <v>12</v>
      </c>
      <c r="G7" s="13" t="s">
        <v>21</v>
      </c>
      <c r="H7" s="13"/>
    </row>
    <row r="8" spans="1:8" ht="15" customHeight="1" x14ac:dyDescent="0.3">
      <c r="A8" s="12" t="s">
        <v>8</v>
      </c>
      <c r="B8" s="13" t="s">
        <v>22</v>
      </c>
      <c r="C8" s="13" t="s">
        <v>23</v>
      </c>
      <c r="D8" s="13" t="s">
        <v>11</v>
      </c>
      <c r="E8" s="13" t="s">
        <v>12</v>
      </c>
      <c r="F8" s="13" t="s">
        <v>12</v>
      </c>
      <c r="G8" s="13" t="s">
        <v>24</v>
      </c>
      <c r="H8" s="13" t="s">
        <v>25</v>
      </c>
    </row>
    <row r="9" spans="1:8" ht="15" customHeight="1" x14ac:dyDescent="0.3">
      <c r="A9" s="12" t="s">
        <v>8</v>
      </c>
      <c r="B9" s="13" t="s">
        <v>26</v>
      </c>
      <c r="C9" s="13" t="s">
        <v>23</v>
      </c>
      <c r="D9" s="13" t="s">
        <v>11</v>
      </c>
      <c r="E9" s="13" t="s">
        <v>12</v>
      </c>
      <c r="F9" s="13" t="s">
        <v>12</v>
      </c>
      <c r="G9" s="13" t="s">
        <v>27</v>
      </c>
      <c r="H9" s="13" t="s">
        <v>28</v>
      </c>
    </row>
    <row r="10" spans="1:8" ht="15" customHeight="1" x14ac:dyDescent="0.3">
      <c r="A10" s="12" t="s">
        <v>8</v>
      </c>
      <c r="B10" s="13" t="s">
        <v>29</v>
      </c>
      <c r="C10" s="13" t="s">
        <v>30</v>
      </c>
      <c r="D10" s="13" t="s">
        <v>11</v>
      </c>
      <c r="E10" s="13" t="s">
        <v>12</v>
      </c>
      <c r="F10" s="13" t="s">
        <v>12</v>
      </c>
      <c r="G10" s="13" t="s">
        <v>31</v>
      </c>
      <c r="H10" s="13" t="s">
        <v>32</v>
      </c>
    </row>
    <row r="11" spans="1:8" ht="23.25" customHeight="1" x14ac:dyDescent="0.3">
      <c r="A11" s="12" t="s">
        <v>8</v>
      </c>
      <c r="B11" s="13" t="s">
        <v>33</v>
      </c>
      <c r="C11" s="13" t="s">
        <v>34</v>
      </c>
      <c r="D11" s="13" t="s">
        <v>11</v>
      </c>
      <c r="E11" s="13" t="s">
        <v>12</v>
      </c>
      <c r="F11" s="13" t="s">
        <v>12</v>
      </c>
      <c r="G11" s="13" t="s">
        <v>35</v>
      </c>
      <c r="H11" s="13" t="s">
        <v>36</v>
      </c>
    </row>
    <row r="12" spans="1:8" ht="15" customHeight="1" x14ac:dyDescent="0.3">
      <c r="A12" s="12" t="s">
        <v>8</v>
      </c>
      <c r="B12" s="13" t="s">
        <v>37</v>
      </c>
      <c r="C12" s="13" t="s">
        <v>23</v>
      </c>
      <c r="D12" s="13" t="s">
        <v>11</v>
      </c>
      <c r="E12" s="13" t="s">
        <v>12</v>
      </c>
      <c r="F12" s="13" t="s">
        <v>12</v>
      </c>
      <c r="G12" s="13" t="s">
        <v>38</v>
      </c>
      <c r="H12" s="13" t="s">
        <v>39</v>
      </c>
    </row>
    <row r="13" spans="1:8" ht="15" customHeight="1" x14ac:dyDescent="0.3">
      <c r="A13" s="12" t="s">
        <v>8</v>
      </c>
      <c r="B13" s="13" t="s">
        <v>40</v>
      </c>
      <c r="C13" s="13" t="s">
        <v>23</v>
      </c>
      <c r="D13" s="13" t="s">
        <v>11</v>
      </c>
      <c r="E13" s="13" t="s">
        <v>12</v>
      </c>
      <c r="F13" s="13" t="s">
        <v>12</v>
      </c>
      <c r="G13" s="13" t="s">
        <v>41</v>
      </c>
      <c r="H13" s="13"/>
    </row>
    <row r="14" spans="1:8" ht="15" customHeight="1" x14ac:dyDescent="0.3">
      <c r="A14" s="12" t="s">
        <v>8</v>
      </c>
      <c r="B14" s="13" t="s">
        <v>42</v>
      </c>
      <c r="C14" s="13" t="s">
        <v>23</v>
      </c>
      <c r="D14" s="13" t="s">
        <v>11</v>
      </c>
      <c r="E14" s="13" t="s">
        <v>12</v>
      </c>
      <c r="F14" s="13" t="s">
        <v>12</v>
      </c>
      <c r="G14" s="13" t="s">
        <v>43</v>
      </c>
      <c r="H14" s="13" t="s">
        <v>44</v>
      </c>
    </row>
    <row r="15" spans="1:8" ht="15" customHeight="1" x14ac:dyDescent="0.3">
      <c r="A15" s="12" t="s">
        <v>8</v>
      </c>
      <c r="B15" s="13" t="s">
        <v>45</v>
      </c>
      <c r="C15" s="13" t="s">
        <v>46</v>
      </c>
      <c r="D15" s="13" t="s">
        <v>11</v>
      </c>
      <c r="E15" s="13" t="s">
        <v>12</v>
      </c>
      <c r="F15" s="13" t="s">
        <v>12</v>
      </c>
      <c r="G15" s="13" t="s">
        <v>47</v>
      </c>
      <c r="H15" s="13" t="s">
        <v>48</v>
      </c>
    </row>
    <row r="16" spans="1:8" ht="15" customHeight="1" x14ac:dyDescent="0.3">
      <c r="A16" s="14" t="s">
        <v>49</v>
      </c>
      <c r="B16" s="15" t="s">
        <v>50</v>
      </c>
      <c r="C16" s="15" t="s">
        <v>10</v>
      </c>
      <c r="D16" s="15" t="s">
        <v>11</v>
      </c>
      <c r="E16" s="15" t="s">
        <v>12</v>
      </c>
      <c r="F16" s="15" t="s">
        <v>12</v>
      </c>
      <c r="G16" s="15" t="s">
        <v>51</v>
      </c>
      <c r="H16" s="15" t="s">
        <v>52</v>
      </c>
    </row>
    <row r="17" spans="1:8" ht="15" customHeight="1" x14ac:dyDescent="0.3">
      <c r="A17" s="14" t="s">
        <v>49</v>
      </c>
      <c r="B17" s="15" t="s">
        <v>53</v>
      </c>
      <c r="C17" s="15" t="s">
        <v>54</v>
      </c>
      <c r="D17" s="15" t="s">
        <v>55</v>
      </c>
      <c r="E17" s="15" t="s">
        <v>53</v>
      </c>
      <c r="F17" s="15" t="s">
        <v>56</v>
      </c>
      <c r="G17" s="15" t="s">
        <v>57</v>
      </c>
      <c r="H17" s="15" t="s">
        <v>58</v>
      </c>
    </row>
    <row r="18" spans="1:8" ht="15" customHeight="1" x14ac:dyDescent="0.3">
      <c r="A18" s="14" t="s">
        <v>49</v>
      </c>
      <c r="B18" s="15" t="s">
        <v>59</v>
      </c>
      <c r="C18" s="15" t="s">
        <v>60</v>
      </c>
      <c r="D18" s="15" t="s">
        <v>55</v>
      </c>
      <c r="E18" s="15" t="s">
        <v>59</v>
      </c>
      <c r="F18" s="15" t="s">
        <v>61</v>
      </c>
      <c r="G18" s="15" t="s">
        <v>62</v>
      </c>
      <c r="H18" s="15" t="s">
        <v>63</v>
      </c>
    </row>
    <row r="19" spans="1:8" ht="15" customHeight="1" x14ac:dyDescent="0.3">
      <c r="A19" s="14" t="s">
        <v>49</v>
      </c>
      <c r="B19" s="15" t="s">
        <v>64</v>
      </c>
      <c r="C19" s="15" t="s">
        <v>16</v>
      </c>
      <c r="D19" s="15" t="s">
        <v>55</v>
      </c>
      <c r="E19" s="15" t="s">
        <v>65</v>
      </c>
      <c r="F19" s="15" t="s">
        <v>66</v>
      </c>
      <c r="G19" s="15" t="s">
        <v>57</v>
      </c>
      <c r="H19" s="15" t="s">
        <v>67</v>
      </c>
    </row>
    <row r="20" spans="1:8" ht="15" customHeight="1" x14ac:dyDescent="0.3">
      <c r="A20" s="14" t="s">
        <v>49</v>
      </c>
      <c r="B20" s="15" t="s">
        <v>68</v>
      </c>
      <c r="C20" s="15" t="s">
        <v>69</v>
      </c>
      <c r="D20" s="15" t="s">
        <v>70</v>
      </c>
      <c r="E20" s="15" t="s">
        <v>68</v>
      </c>
      <c r="F20" s="15" t="s">
        <v>61</v>
      </c>
      <c r="G20" s="15" t="s">
        <v>71</v>
      </c>
      <c r="H20" s="15" t="s">
        <v>72</v>
      </c>
    </row>
    <row r="21" spans="1:8" ht="15" customHeight="1" x14ac:dyDescent="0.3">
      <c r="A21" s="14" t="s">
        <v>49</v>
      </c>
      <c r="B21" s="15" t="s">
        <v>73</v>
      </c>
      <c r="C21" s="15" t="s">
        <v>69</v>
      </c>
      <c r="D21" s="15" t="s">
        <v>70</v>
      </c>
      <c r="E21" s="15" t="s">
        <v>73</v>
      </c>
      <c r="F21" s="15" t="s">
        <v>61</v>
      </c>
      <c r="G21" s="15" t="s">
        <v>74</v>
      </c>
      <c r="H21" s="15" t="s">
        <v>75</v>
      </c>
    </row>
    <row r="22" spans="1:8" ht="15" customHeight="1" x14ac:dyDescent="0.3">
      <c r="A22" s="14" t="s">
        <v>49</v>
      </c>
      <c r="B22" s="15" t="s">
        <v>76</v>
      </c>
      <c r="C22" s="15" t="s">
        <v>77</v>
      </c>
      <c r="D22" s="15" t="s">
        <v>70</v>
      </c>
      <c r="E22" s="15" t="s">
        <v>76</v>
      </c>
      <c r="F22" s="15" t="s">
        <v>56</v>
      </c>
      <c r="G22" s="15" t="s">
        <v>74</v>
      </c>
      <c r="H22" s="15" t="s">
        <v>78</v>
      </c>
    </row>
    <row r="23" spans="1:8" ht="15" customHeight="1" x14ac:dyDescent="0.3">
      <c r="A23" s="4" t="s">
        <v>79</v>
      </c>
      <c r="B23" s="5" t="s">
        <v>80</v>
      </c>
      <c r="C23" s="5" t="s">
        <v>10</v>
      </c>
      <c r="D23" s="5" t="s">
        <v>11</v>
      </c>
      <c r="E23" s="5" t="s">
        <v>12</v>
      </c>
      <c r="F23" s="5" t="s">
        <v>12</v>
      </c>
      <c r="G23" s="5" t="s">
        <v>51</v>
      </c>
      <c r="H23" s="5"/>
    </row>
    <row r="24" spans="1:8" ht="23.25" customHeight="1" x14ac:dyDescent="0.3">
      <c r="A24" s="4" t="s">
        <v>79</v>
      </c>
      <c r="B24" s="5" t="s">
        <v>81</v>
      </c>
      <c r="C24" s="5" t="s">
        <v>82</v>
      </c>
      <c r="D24" s="5" t="s">
        <v>83</v>
      </c>
      <c r="E24" s="5" t="s">
        <v>84</v>
      </c>
      <c r="F24" s="5" t="s">
        <v>61</v>
      </c>
      <c r="G24" s="5" t="s">
        <v>85</v>
      </c>
      <c r="H24" s="5" t="s">
        <v>86</v>
      </c>
    </row>
    <row r="25" spans="1:8" ht="15" customHeight="1" x14ac:dyDescent="0.3">
      <c r="A25" s="4" t="s">
        <v>79</v>
      </c>
      <c r="B25" s="5" t="s">
        <v>87</v>
      </c>
      <c r="C25" s="5" t="s">
        <v>69</v>
      </c>
      <c r="D25" s="5" t="s">
        <v>83</v>
      </c>
      <c r="E25" s="5" t="s">
        <v>87</v>
      </c>
      <c r="F25" s="5" t="s">
        <v>61</v>
      </c>
      <c r="G25" s="5" t="s">
        <v>88</v>
      </c>
      <c r="H25" s="5" t="s">
        <v>89</v>
      </c>
    </row>
    <row r="26" spans="1:8" ht="23.25" customHeight="1" x14ac:dyDescent="0.3">
      <c r="A26" s="4" t="s">
        <v>79</v>
      </c>
      <c r="B26" s="5" t="s">
        <v>90</v>
      </c>
      <c r="C26" s="5" t="s">
        <v>69</v>
      </c>
      <c r="D26" s="5" t="s">
        <v>83</v>
      </c>
      <c r="E26" s="5" t="s">
        <v>90</v>
      </c>
      <c r="F26" s="5" t="s">
        <v>61</v>
      </c>
      <c r="G26" s="5" t="s">
        <v>88</v>
      </c>
      <c r="H26" s="5" t="s">
        <v>91</v>
      </c>
    </row>
    <row r="27" spans="1:8" ht="15" customHeight="1" x14ac:dyDescent="0.3">
      <c r="A27" s="16" t="s">
        <v>92</v>
      </c>
      <c r="B27" s="17" t="s">
        <v>93</v>
      </c>
      <c r="C27" s="17" t="s">
        <v>10</v>
      </c>
      <c r="D27" s="17" t="s">
        <v>11</v>
      </c>
      <c r="E27" s="17" t="s">
        <v>12</v>
      </c>
      <c r="F27" s="17" t="s">
        <v>12</v>
      </c>
      <c r="G27" s="17" t="s">
        <v>51</v>
      </c>
      <c r="H27" s="17"/>
    </row>
    <row r="28" spans="1:8" ht="15" customHeight="1" x14ac:dyDescent="0.3">
      <c r="A28" s="16" t="s">
        <v>92</v>
      </c>
      <c r="B28" s="17" t="s">
        <v>94</v>
      </c>
      <c r="C28" s="17" t="s">
        <v>95</v>
      </c>
      <c r="D28" s="17" t="s">
        <v>96</v>
      </c>
      <c r="E28" s="17" t="s">
        <v>97</v>
      </c>
      <c r="F28" s="17" t="s">
        <v>98</v>
      </c>
      <c r="G28" s="17" t="s">
        <v>57</v>
      </c>
      <c r="H28" s="17" t="s">
        <v>99</v>
      </c>
    </row>
    <row r="29" spans="1:8" ht="15" customHeight="1" x14ac:dyDescent="0.3">
      <c r="A29" s="16" t="s">
        <v>92</v>
      </c>
      <c r="B29" s="17" t="s">
        <v>100</v>
      </c>
      <c r="C29" s="17" t="s">
        <v>101</v>
      </c>
      <c r="D29" s="17" t="s">
        <v>96</v>
      </c>
      <c r="E29" s="17" t="s">
        <v>102</v>
      </c>
      <c r="F29" s="17" t="s">
        <v>103</v>
      </c>
      <c r="G29" s="17" t="s">
        <v>104</v>
      </c>
      <c r="H29" s="17"/>
    </row>
    <row r="30" spans="1:8" ht="15" customHeight="1" x14ac:dyDescent="0.3">
      <c r="A30" s="16" t="s">
        <v>92</v>
      </c>
      <c r="B30" s="17" t="s">
        <v>105</v>
      </c>
      <c r="C30" s="17" t="s">
        <v>30</v>
      </c>
      <c r="D30" s="17" t="s">
        <v>96</v>
      </c>
      <c r="E30" s="17" t="s">
        <v>97</v>
      </c>
      <c r="F30" s="17" t="s">
        <v>98</v>
      </c>
      <c r="G30" s="17" t="s">
        <v>106</v>
      </c>
      <c r="H30" s="17" t="s">
        <v>107</v>
      </c>
    </row>
    <row r="31" spans="1:8" ht="15" customHeight="1" x14ac:dyDescent="0.3">
      <c r="A31" s="16" t="s">
        <v>92</v>
      </c>
      <c r="B31" s="17" t="s">
        <v>108</v>
      </c>
      <c r="C31" s="17" t="s">
        <v>30</v>
      </c>
      <c r="D31" s="17" t="s">
        <v>96</v>
      </c>
      <c r="E31" s="17" t="s">
        <v>97</v>
      </c>
      <c r="F31" s="17" t="s">
        <v>98</v>
      </c>
      <c r="G31" s="17" t="s">
        <v>109</v>
      </c>
      <c r="H31" s="17" t="s">
        <v>107</v>
      </c>
    </row>
    <row r="32" spans="1:8" s="20" customFormat="1" ht="15" customHeight="1" x14ac:dyDescent="0.3">
      <c r="A32" s="18" t="s">
        <v>110</v>
      </c>
      <c r="B32" s="19" t="s">
        <v>111</v>
      </c>
      <c r="C32" s="19" t="s">
        <v>10</v>
      </c>
      <c r="D32" s="19" t="s">
        <v>83</v>
      </c>
      <c r="E32" s="19" t="s">
        <v>112</v>
      </c>
      <c r="F32" s="19" t="s">
        <v>56</v>
      </c>
      <c r="G32" s="19" t="s">
        <v>57</v>
      </c>
      <c r="H32" s="19" t="s">
        <v>113</v>
      </c>
    </row>
    <row r="33" spans="1:8" s="20" customFormat="1" ht="15" customHeight="1" x14ac:dyDescent="0.3">
      <c r="A33" s="18" t="s">
        <v>110</v>
      </c>
      <c r="B33" s="19" t="s">
        <v>9</v>
      </c>
      <c r="C33" s="19" t="s">
        <v>114</v>
      </c>
      <c r="D33" s="19" t="s">
        <v>83</v>
      </c>
      <c r="E33" s="19" t="s">
        <v>65</v>
      </c>
      <c r="F33" s="19" t="s">
        <v>66</v>
      </c>
      <c r="G33" s="19" t="s">
        <v>115</v>
      </c>
      <c r="H33" s="19" t="s">
        <v>116</v>
      </c>
    </row>
    <row r="34" spans="1:8" s="20" customFormat="1" ht="15" customHeight="1" x14ac:dyDescent="0.3">
      <c r="A34" s="18" t="s">
        <v>110</v>
      </c>
      <c r="B34" s="19" t="s">
        <v>50</v>
      </c>
      <c r="C34" s="19" t="s">
        <v>114</v>
      </c>
      <c r="D34" s="19" t="s">
        <v>83</v>
      </c>
      <c r="E34" s="19" t="s">
        <v>53</v>
      </c>
      <c r="F34" s="19" t="s">
        <v>56</v>
      </c>
      <c r="G34" s="19" t="s">
        <v>117</v>
      </c>
      <c r="H34" s="19" t="s">
        <v>118</v>
      </c>
    </row>
    <row r="35" spans="1:8" s="20" customFormat="1" ht="23.25" customHeight="1" x14ac:dyDescent="0.3">
      <c r="A35" s="18" t="s">
        <v>110</v>
      </c>
      <c r="B35" s="19" t="s">
        <v>80</v>
      </c>
      <c r="C35" s="19" t="s">
        <v>114</v>
      </c>
      <c r="D35" s="19" t="s">
        <v>83</v>
      </c>
      <c r="E35" s="19" t="s">
        <v>119</v>
      </c>
      <c r="F35" s="19" t="s">
        <v>61</v>
      </c>
      <c r="G35" s="19" t="s">
        <v>120</v>
      </c>
      <c r="H35" s="19" t="s">
        <v>121</v>
      </c>
    </row>
    <row r="36" spans="1:8" s="20" customFormat="1" ht="15" customHeight="1" x14ac:dyDescent="0.3">
      <c r="A36" s="18" t="s">
        <v>110</v>
      </c>
      <c r="B36" s="19" t="s">
        <v>122</v>
      </c>
      <c r="C36" s="19" t="s">
        <v>123</v>
      </c>
      <c r="D36" s="19" t="s">
        <v>83</v>
      </c>
      <c r="E36" s="19" t="s">
        <v>122</v>
      </c>
      <c r="F36" s="19" t="s">
        <v>124</v>
      </c>
      <c r="G36" s="19" t="s">
        <v>125</v>
      </c>
      <c r="H36" s="19" t="s">
        <v>126</v>
      </c>
    </row>
    <row r="37" spans="1:8" s="20" customFormat="1" ht="15" customHeight="1" x14ac:dyDescent="0.3">
      <c r="A37" s="18" t="s">
        <v>110</v>
      </c>
      <c r="B37" s="19" t="s">
        <v>127</v>
      </c>
      <c r="C37" s="19" t="s">
        <v>123</v>
      </c>
      <c r="D37" s="19" t="s">
        <v>83</v>
      </c>
      <c r="E37" s="19" t="s">
        <v>128</v>
      </c>
      <c r="F37" s="19" t="s">
        <v>129</v>
      </c>
      <c r="G37" s="19" t="s">
        <v>130</v>
      </c>
      <c r="H37" s="19" t="s">
        <v>131</v>
      </c>
    </row>
    <row r="38" spans="1:8" s="20" customFormat="1" ht="15" customHeight="1" x14ac:dyDescent="0.3">
      <c r="A38" s="18" t="s">
        <v>110</v>
      </c>
      <c r="B38" s="19" t="s">
        <v>132</v>
      </c>
      <c r="C38" s="19" t="s">
        <v>123</v>
      </c>
      <c r="D38" s="19" t="s">
        <v>83</v>
      </c>
      <c r="E38" s="19" t="s">
        <v>133</v>
      </c>
      <c r="F38" s="19" t="s">
        <v>124</v>
      </c>
      <c r="G38" s="19" t="s">
        <v>125</v>
      </c>
      <c r="H38" s="19" t="s">
        <v>134</v>
      </c>
    </row>
    <row r="39" spans="1:8" ht="15" customHeight="1" x14ac:dyDescent="0.3">
      <c r="A39" s="21" t="s">
        <v>135</v>
      </c>
      <c r="B39" s="22" t="s">
        <v>136</v>
      </c>
      <c r="C39" s="22" t="s">
        <v>10</v>
      </c>
      <c r="D39" s="22" t="s">
        <v>137</v>
      </c>
      <c r="E39" s="22" t="s">
        <v>136</v>
      </c>
      <c r="F39" s="22" t="s">
        <v>56</v>
      </c>
      <c r="G39" s="22" t="s">
        <v>57</v>
      </c>
      <c r="H39" s="22"/>
    </row>
    <row r="40" spans="1:8" ht="15" customHeight="1" x14ac:dyDescent="0.3">
      <c r="A40" s="21" t="s">
        <v>135</v>
      </c>
      <c r="B40" s="22" t="s">
        <v>138</v>
      </c>
      <c r="C40" s="22" t="s">
        <v>114</v>
      </c>
      <c r="D40" s="22" t="s">
        <v>137</v>
      </c>
      <c r="E40" s="22" t="s">
        <v>65</v>
      </c>
      <c r="F40" s="22" t="s">
        <v>66</v>
      </c>
      <c r="G40" s="22" t="s">
        <v>115</v>
      </c>
      <c r="H40" s="22" t="s">
        <v>116</v>
      </c>
    </row>
    <row r="41" spans="1:8" ht="15" customHeight="1" x14ac:dyDescent="0.3">
      <c r="A41" s="21" t="s">
        <v>135</v>
      </c>
      <c r="B41" s="22" t="s">
        <v>50</v>
      </c>
      <c r="C41" s="22" t="s">
        <v>114</v>
      </c>
      <c r="D41" s="22" t="s">
        <v>137</v>
      </c>
      <c r="E41" s="22" t="s">
        <v>53</v>
      </c>
      <c r="F41" s="22" t="s">
        <v>56</v>
      </c>
      <c r="G41" s="22" t="s">
        <v>117</v>
      </c>
      <c r="H41" s="22"/>
    </row>
    <row r="42" spans="1:8" ht="15" customHeight="1" x14ac:dyDescent="0.3">
      <c r="A42" s="21" t="s">
        <v>135</v>
      </c>
      <c r="B42" s="22" t="s">
        <v>93</v>
      </c>
      <c r="C42" s="22" t="s">
        <v>114</v>
      </c>
      <c r="D42" s="22" t="s">
        <v>137</v>
      </c>
      <c r="E42" s="22" t="s">
        <v>97</v>
      </c>
      <c r="F42" s="22" t="s">
        <v>98</v>
      </c>
      <c r="G42" s="22" t="s">
        <v>139</v>
      </c>
      <c r="H42" s="22" t="s">
        <v>140</v>
      </c>
    </row>
    <row r="43" spans="1:8" ht="15" customHeight="1" x14ac:dyDescent="0.3">
      <c r="A43" s="21" t="s">
        <v>135</v>
      </c>
      <c r="B43" s="22" t="s">
        <v>141</v>
      </c>
      <c r="C43" s="22" t="s">
        <v>20</v>
      </c>
      <c r="D43" s="22" t="s">
        <v>137</v>
      </c>
      <c r="E43" s="22" t="s">
        <v>142</v>
      </c>
      <c r="F43" s="22" t="s">
        <v>56</v>
      </c>
      <c r="G43" s="22" t="s">
        <v>57</v>
      </c>
      <c r="H43" s="22" t="s">
        <v>143</v>
      </c>
    </row>
    <row r="44" spans="1:8" ht="15" customHeight="1" x14ac:dyDescent="0.3">
      <c r="A44" s="21" t="s">
        <v>135</v>
      </c>
      <c r="B44" s="22" t="s">
        <v>144</v>
      </c>
      <c r="C44" s="22" t="s">
        <v>123</v>
      </c>
      <c r="D44" s="22" t="s">
        <v>137</v>
      </c>
      <c r="E44" s="22" t="s">
        <v>122</v>
      </c>
      <c r="F44" s="22" t="s">
        <v>56</v>
      </c>
      <c r="G44" s="22" t="s">
        <v>125</v>
      </c>
      <c r="H44" s="22"/>
    </row>
    <row r="45" spans="1:8" ht="15" customHeight="1" x14ac:dyDescent="0.3">
      <c r="A45" s="21" t="s">
        <v>135</v>
      </c>
      <c r="B45" s="22" t="s">
        <v>145</v>
      </c>
      <c r="C45" s="22" t="s">
        <v>123</v>
      </c>
      <c r="D45" s="22" t="s">
        <v>137</v>
      </c>
      <c r="E45" s="22" t="s">
        <v>146</v>
      </c>
      <c r="F45" s="22" t="s">
        <v>124</v>
      </c>
      <c r="G45" s="22" t="s">
        <v>125</v>
      </c>
      <c r="H45" s="22" t="s">
        <v>147</v>
      </c>
    </row>
    <row r="46" spans="1:8" ht="15" customHeight="1" x14ac:dyDescent="0.3"/>
    <row r="47" spans="1:8" ht="23.25" customHeight="1" x14ac:dyDescent="0.3"/>
  </sheetData>
  <autoFilter ref="A4:H47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52" customWidth="1"/>
    <col min="3" max="3" width="64" customWidth="1"/>
  </cols>
  <sheetData>
    <row r="1" spans="1:3" ht="15" customHeight="1" x14ac:dyDescent="0.3">
      <c r="A1" s="3" t="s">
        <v>3</v>
      </c>
      <c r="B1" s="3" t="s">
        <v>4</v>
      </c>
      <c r="C1" s="3" t="s">
        <v>148</v>
      </c>
    </row>
    <row r="2" spans="1:3" ht="15" customHeight="1" x14ac:dyDescent="0.3">
      <c r="A2" s="6" t="s">
        <v>149</v>
      </c>
      <c r="B2" s="6" t="s">
        <v>150</v>
      </c>
      <c r="C2" s="6" t="s">
        <v>151</v>
      </c>
    </row>
    <row r="3" spans="1:3" ht="15" customHeight="1" x14ac:dyDescent="0.3">
      <c r="A3" s="6" t="s">
        <v>152</v>
      </c>
      <c r="B3" s="6" t="s">
        <v>150</v>
      </c>
      <c r="C3" s="6" t="s">
        <v>153</v>
      </c>
    </row>
    <row r="4" spans="1:3" ht="15" customHeight="1" x14ac:dyDescent="0.3">
      <c r="A4" s="6" t="s">
        <v>154</v>
      </c>
      <c r="B4" s="6" t="s">
        <v>150</v>
      </c>
      <c r="C4" s="6" t="s">
        <v>155</v>
      </c>
    </row>
    <row r="5" spans="1:3" ht="15" customHeight="1" x14ac:dyDescent="0.3">
      <c r="A5" s="6" t="s">
        <v>156</v>
      </c>
      <c r="B5" s="6" t="s">
        <v>150</v>
      </c>
      <c r="C5" s="6" t="s">
        <v>157</v>
      </c>
    </row>
    <row r="6" spans="1:3" ht="15" customHeight="1" x14ac:dyDescent="0.3">
      <c r="A6" s="6" t="s">
        <v>83</v>
      </c>
      <c r="B6" s="6" t="s">
        <v>158</v>
      </c>
      <c r="C6" s="6" t="s">
        <v>159</v>
      </c>
    </row>
    <row r="7" spans="1:3" ht="15" customHeight="1" x14ac:dyDescent="0.3">
      <c r="A7" s="6" t="s">
        <v>83</v>
      </c>
      <c r="B7" s="6" t="s">
        <v>55</v>
      </c>
      <c r="C7" s="6" t="s">
        <v>160</v>
      </c>
    </row>
    <row r="8" spans="1:3" ht="23.25" customHeight="1" x14ac:dyDescent="0.3">
      <c r="A8" s="6" t="s">
        <v>70</v>
      </c>
      <c r="B8" s="6" t="s">
        <v>161</v>
      </c>
      <c r="C8" s="6" t="s">
        <v>162</v>
      </c>
    </row>
    <row r="9" spans="1:3" x14ac:dyDescent="0.3">
      <c r="A9" t="s">
        <v>163</v>
      </c>
      <c r="B9" t="s">
        <v>107</v>
      </c>
      <c r="C9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6" customWidth="1"/>
    <col min="3" max="3" width="16" customWidth="1"/>
    <col min="4" max="4" width="20" customWidth="1"/>
    <col min="5" max="5" width="14" customWidth="1"/>
    <col min="6" max="6" width="56" customWidth="1"/>
  </cols>
  <sheetData>
    <row r="1" spans="1:6" ht="15" customHeight="1" x14ac:dyDescent="0.3">
      <c r="A1" s="3" t="s">
        <v>165</v>
      </c>
      <c r="B1" s="3" t="s">
        <v>0</v>
      </c>
      <c r="C1" s="3" t="s">
        <v>166</v>
      </c>
      <c r="D1" s="3" t="s">
        <v>167</v>
      </c>
      <c r="E1" s="3" t="s">
        <v>168</v>
      </c>
      <c r="F1" s="3" t="s">
        <v>7</v>
      </c>
    </row>
    <row r="2" spans="1:6" ht="15" customHeight="1" x14ac:dyDescent="0.3">
      <c r="A2" s="6">
        <v>1</v>
      </c>
      <c r="B2" s="7" t="s">
        <v>8</v>
      </c>
      <c r="C2" s="8">
        <v>2191</v>
      </c>
      <c r="D2" s="9"/>
      <c r="E2" s="6" t="str">
        <f>IF(D2="","",IF(D2=C2,"OK","CHECK"))</f>
        <v/>
      </c>
      <c r="F2" s="6" t="s">
        <v>169</v>
      </c>
    </row>
    <row r="3" spans="1:6" ht="15" customHeight="1" x14ac:dyDescent="0.3">
      <c r="A3" s="6">
        <v>2</v>
      </c>
      <c r="B3" s="7" t="s">
        <v>92</v>
      </c>
      <c r="C3" s="8">
        <v>4</v>
      </c>
      <c r="D3" s="9"/>
      <c r="E3" s="6" t="str">
        <f>IF(D3="","",IF(D3=C3,"OK","CHECK"))</f>
        <v/>
      </c>
      <c r="F3" s="6" t="s">
        <v>99</v>
      </c>
    </row>
    <row r="4" spans="1:6" ht="15" customHeight="1" x14ac:dyDescent="0.3">
      <c r="A4" s="6">
        <v>3</v>
      </c>
      <c r="B4" s="7" t="s">
        <v>79</v>
      </c>
      <c r="C4" s="8">
        <v>15</v>
      </c>
      <c r="D4" s="9"/>
      <c r="E4" s="6" t="s">
        <v>170</v>
      </c>
      <c r="F4" s="6" t="s">
        <v>171</v>
      </c>
    </row>
    <row r="5" spans="1:6" ht="15" customHeight="1" x14ac:dyDescent="0.3">
      <c r="A5" s="6">
        <v>4</v>
      </c>
      <c r="B5" s="7" t="s">
        <v>49</v>
      </c>
      <c r="C5" s="8">
        <v>4500</v>
      </c>
      <c r="D5" s="9"/>
      <c r="E5" s="6" t="str">
        <f>IF(D5="","",IF(D5=C5,"OK","CHECK"))</f>
        <v/>
      </c>
      <c r="F5" s="6" t="s">
        <v>172</v>
      </c>
    </row>
    <row r="6" spans="1:6" ht="15" customHeight="1" x14ac:dyDescent="0.3">
      <c r="A6" s="6">
        <v>5</v>
      </c>
      <c r="B6" s="7" t="s">
        <v>110</v>
      </c>
      <c r="C6" s="8">
        <v>1056320</v>
      </c>
      <c r="D6" s="9"/>
      <c r="E6" s="6" t="str">
        <f>IF(D6="","",IF(D6=C6,"OK","CHECK"))</f>
        <v/>
      </c>
      <c r="F6" s="6" t="s">
        <v>173</v>
      </c>
    </row>
    <row r="7" spans="1:6" ht="15" customHeight="1" x14ac:dyDescent="0.3">
      <c r="A7" s="6">
        <v>6</v>
      </c>
      <c r="B7" s="7" t="s">
        <v>135</v>
      </c>
      <c r="C7" s="8">
        <v>682</v>
      </c>
      <c r="D7" s="9"/>
      <c r="E7" s="6" t="str">
        <f>IF(D7="","",IF(D7=C7,"OK","CHECK"))</f>
        <v/>
      </c>
      <c r="F7" s="6" t="s">
        <v>174</v>
      </c>
    </row>
    <row r="9" spans="1:6" ht="15" customHeight="1" x14ac:dyDescent="0.3">
      <c r="A9" s="2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70" customWidth="1"/>
    <col min="3" max="3" width="60" customWidth="1"/>
  </cols>
  <sheetData>
    <row r="1" spans="1:3" ht="15" customHeight="1" x14ac:dyDescent="0.3">
      <c r="A1" s="10" t="s">
        <v>176</v>
      </c>
      <c r="B1" s="10" t="s">
        <v>177</v>
      </c>
      <c r="C1" s="10" t="s">
        <v>178</v>
      </c>
    </row>
    <row r="2" spans="1:3" ht="15" customHeight="1" x14ac:dyDescent="0.3">
      <c r="A2" s="11" t="s">
        <v>179</v>
      </c>
      <c r="B2" s="11" t="s">
        <v>180</v>
      </c>
      <c r="C2" s="11" t="s">
        <v>181</v>
      </c>
    </row>
    <row r="3" spans="1:3" ht="26.25" customHeight="1" x14ac:dyDescent="0.3">
      <c r="A3" s="11" t="s">
        <v>182</v>
      </c>
      <c r="B3" s="11" t="s">
        <v>183</v>
      </c>
      <c r="C3" s="11" t="s">
        <v>184</v>
      </c>
    </row>
    <row r="4" spans="1:3" ht="15" customHeight="1" x14ac:dyDescent="0.3">
      <c r="A4" s="11" t="s">
        <v>185</v>
      </c>
      <c r="B4" s="11" t="s">
        <v>186</v>
      </c>
      <c r="C4" s="11" t="s">
        <v>187</v>
      </c>
    </row>
    <row r="5" spans="1:3" ht="15" customHeight="1" x14ac:dyDescent="0.3">
      <c r="A5" s="11" t="s">
        <v>188</v>
      </c>
      <c r="B5" s="11" t="s">
        <v>189</v>
      </c>
      <c r="C5" s="11" t="s">
        <v>190</v>
      </c>
    </row>
    <row r="6" spans="1:3" ht="15" customHeight="1" x14ac:dyDescent="0.3">
      <c r="A6" s="11" t="s">
        <v>191</v>
      </c>
      <c r="B6" s="11" t="s">
        <v>192</v>
      </c>
      <c r="C6" s="11" t="s">
        <v>193</v>
      </c>
    </row>
    <row r="7" spans="1:3" ht="15" customHeight="1" x14ac:dyDescent="0.3">
      <c r="A7" s="11" t="s">
        <v>194</v>
      </c>
      <c r="B7" s="11" t="s">
        <v>195</v>
      </c>
      <c r="C7" s="11" t="s">
        <v>196</v>
      </c>
    </row>
    <row r="8" spans="1:3" ht="15" customHeight="1" x14ac:dyDescent="0.3">
      <c r="A8" s="11" t="s">
        <v>197</v>
      </c>
      <c r="B8" s="11" t="s">
        <v>198</v>
      </c>
      <c r="C8" s="11" t="s">
        <v>199</v>
      </c>
    </row>
    <row r="9" spans="1:3" ht="15" customHeight="1" x14ac:dyDescent="0.3">
      <c r="A9" s="11" t="s">
        <v>200</v>
      </c>
      <c r="B9" s="11" t="s">
        <v>201</v>
      </c>
      <c r="C9" s="11" t="s">
        <v>202</v>
      </c>
    </row>
    <row r="10" spans="1:3" ht="15" customHeight="1" x14ac:dyDescent="0.3">
      <c r="A10" s="11" t="s">
        <v>203</v>
      </c>
      <c r="B10" s="11" t="s">
        <v>204</v>
      </c>
      <c r="C10" s="11" t="s">
        <v>205</v>
      </c>
    </row>
    <row r="11" spans="1:3" ht="26.25" customHeight="1" x14ac:dyDescent="0.3">
      <c r="A11" s="11" t="s">
        <v>206</v>
      </c>
      <c r="B11" s="11" t="s">
        <v>207</v>
      </c>
      <c r="C11" s="11" t="s">
        <v>208</v>
      </c>
    </row>
    <row r="12" spans="1:3" ht="26.25" customHeight="1" x14ac:dyDescent="0.3">
      <c r="A12" s="11" t="s">
        <v>209</v>
      </c>
      <c r="B12" s="11" t="s">
        <v>210</v>
      </c>
      <c r="C12" s="11" t="s">
        <v>211</v>
      </c>
    </row>
    <row r="13" spans="1:3" ht="15" customHeight="1" x14ac:dyDescent="0.3">
      <c r="A13" s="11" t="s">
        <v>212</v>
      </c>
      <c r="B13" s="11" t="s">
        <v>213</v>
      </c>
      <c r="C13" s="11" t="s">
        <v>214</v>
      </c>
    </row>
    <row r="14" spans="1:3" ht="15" customHeight="1" x14ac:dyDescent="0.3">
      <c r="A14" s="11" t="s">
        <v>215</v>
      </c>
      <c r="B14" s="11" t="s">
        <v>216</v>
      </c>
      <c r="C14" s="11" t="s">
        <v>217</v>
      </c>
    </row>
    <row r="15" spans="1:3" ht="15" customHeight="1" x14ac:dyDescent="0.3">
      <c r="A15" s="11" t="s">
        <v>218</v>
      </c>
      <c r="B15" s="11" t="s">
        <v>219</v>
      </c>
      <c r="C15" s="11" t="s">
        <v>220</v>
      </c>
    </row>
    <row r="16" spans="1:3" ht="15" customHeight="1" x14ac:dyDescent="0.3">
      <c r="A16" s="11" t="s">
        <v>221</v>
      </c>
      <c r="B16" s="11" t="s">
        <v>222</v>
      </c>
      <c r="C16" s="11" t="s">
        <v>223</v>
      </c>
    </row>
    <row r="17" spans="1:3" ht="15" customHeight="1" x14ac:dyDescent="0.3">
      <c r="A17" s="11" t="s">
        <v>224</v>
      </c>
      <c r="B17" s="11" t="s">
        <v>225</v>
      </c>
      <c r="C17" s="11" t="s">
        <v>226</v>
      </c>
    </row>
    <row r="18" spans="1:3" ht="15" customHeight="1" x14ac:dyDescent="0.3">
      <c r="A18" s="11" t="s">
        <v>227</v>
      </c>
      <c r="B18" s="11" t="s">
        <v>228</v>
      </c>
      <c r="C18" s="11" t="s">
        <v>226</v>
      </c>
    </row>
    <row r="19" spans="1:3" ht="15" customHeight="1" x14ac:dyDescent="0.3">
      <c r="A19" s="11" t="s">
        <v>229</v>
      </c>
      <c r="B19" s="11" t="s">
        <v>216</v>
      </c>
      <c r="C19" s="11" t="s">
        <v>230</v>
      </c>
    </row>
    <row r="20" spans="1:3" ht="39" customHeight="1" x14ac:dyDescent="0.3">
      <c r="A20" s="11" t="s">
        <v>231</v>
      </c>
      <c r="B20" s="11" t="s">
        <v>232</v>
      </c>
      <c r="C20" s="11" t="s">
        <v>233</v>
      </c>
    </row>
    <row r="21" spans="1:3" ht="15" customHeight="1" x14ac:dyDescent="0.3">
      <c r="A21" s="11" t="s">
        <v>234</v>
      </c>
      <c r="B21" s="11" t="s">
        <v>235</v>
      </c>
      <c r="C21" s="11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Matrix</vt:lpstr>
      <vt:lpstr>Not Extracted</vt:lpstr>
      <vt:lpstr>Load Order &amp; Checks</vt:lpstr>
      <vt:lpstr>Validation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aaron gonzales</cp:lastModifiedBy>
  <cp:revision>0</cp:revision>
  <dcterms:created xsi:type="dcterms:W3CDTF">2026-10-18T18:41:01Z</dcterms:created>
  <dcterms:modified xsi:type="dcterms:W3CDTF">2026-10-18T19:31:15Z</dcterms:modified>
  <dc:language>en-US</dc:language>
</cp:coreProperties>
</file>